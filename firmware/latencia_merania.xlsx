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df0f55a7d7cd9d/Počítač/BAK^1Pictures/"/>
    </mc:Choice>
  </mc:AlternateContent>
  <xr:revisionPtr revIDLastSave="0" documentId="8_{311BBEE5-7D1F-4BD2-AB59-A77F6F000B75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Merania" sheetId="1" r:id="rId1"/>
    <sheet name="Štatistiky" sheetId="2" r:id="rId2"/>
  </sheets>
  <definedNames>
    <definedName name="_xlchart.v1.0" hidden="1">Merania!$B$1</definedName>
    <definedName name="_xlchart.v1.1" hidden="1">Merania!$B$2:$B$21</definedName>
    <definedName name="_xlchart.v1.2" hidden="1">Merania!$C$1</definedName>
    <definedName name="_xlchart.v1.3" hidden="1">Merania!$C$2:$C$21</definedName>
    <definedName name="_xlchart.v1.4" hidden="1">Merania!$D$1</definedName>
    <definedName name="_xlchart.v1.5" hidden="1">Merania!$D$2:$D$21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22" i="1"/>
  <c r="B22" i="1"/>
  <c r="C7" i="2"/>
  <c r="B7" i="2"/>
  <c r="C6" i="2"/>
  <c r="B6" i="2"/>
  <c r="C5" i="2"/>
  <c r="B5" i="2"/>
  <c r="C4" i="2"/>
  <c r="B4" i="2"/>
  <c r="C3" i="2"/>
  <c r="B3" i="2"/>
  <c r="C2" i="2"/>
  <c r="B2" i="2"/>
  <c r="D2" i="2" l="1"/>
  <c r="D4" i="2"/>
  <c r="D3" i="2"/>
  <c r="D5" i="2"/>
  <c r="D6" i="2"/>
  <c r="D7" i="2"/>
</calcChain>
</file>

<file path=xl/sharedStrings.xml><?xml version="1.0" encoding="utf-8"?>
<sst xmlns="http://schemas.openxmlformats.org/spreadsheetml/2006/main" count="15" uniqueCount="14">
  <si>
    <t>Meranie</t>
  </si>
  <si>
    <t>STT (ms)</t>
  </si>
  <si>
    <t>Intent (ms)</t>
  </si>
  <si>
    <t>Celková (ms)</t>
  </si>
  <si>
    <t>Metrika</t>
  </si>
  <si>
    <t>Priemer</t>
  </si>
  <si>
    <t>Medián</t>
  </si>
  <si>
    <t>Smerodajná odchýlka</t>
  </si>
  <si>
    <t>Minimum</t>
  </si>
  <si>
    <t>Maximum</t>
  </si>
  <si>
    <t>Počet meraní</t>
  </si>
  <si>
    <t xml:space="preserve">STT </t>
  </si>
  <si>
    <t xml:space="preserve">Intent </t>
  </si>
  <si>
    <t xml:space="preserve">Celková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</si>
</sst>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0441343131736"/>
          <c:y val="6.89915444236857E-2"/>
          <c:w val="0.84894856431083199"/>
          <c:h val="0.801469363306604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Merania!$B$1</c:f>
              <c:strCache>
                <c:ptCount val="1"/>
                <c:pt idx="0">
                  <c:v>STT 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Merania!$A$2:$A$21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Merania!$B$2:$B$21</c:f>
              <c:numCache>
                <c:formatCode>General</c:formatCode>
                <c:ptCount val="20"/>
                <c:pt idx="0">
                  <c:v>3394</c:v>
                </c:pt>
                <c:pt idx="1">
                  <c:v>3176</c:v>
                </c:pt>
                <c:pt idx="2">
                  <c:v>2854</c:v>
                </c:pt>
                <c:pt idx="3">
                  <c:v>3913</c:v>
                </c:pt>
                <c:pt idx="4">
                  <c:v>3141</c:v>
                </c:pt>
                <c:pt idx="5">
                  <c:v>3325</c:v>
                </c:pt>
                <c:pt idx="6">
                  <c:v>3647</c:v>
                </c:pt>
                <c:pt idx="7">
                  <c:v>3877</c:v>
                </c:pt>
                <c:pt idx="8">
                  <c:v>3074</c:v>
                </c:pt>
                <c:pt idx="9">
                  <c:v>2512</c:v>
                </c:pt>
                <c:pt idx="10">
                  <c:v>2794</c:v>
                </c:pt>
                <c:pt idx="11">
                  <c:v>4393</c:v>
                </c:pt>
                <c:pt idx="12">
                  <c:v>3111</c:v>
                </c:pt>
                <c:pt idx="13">
                  <c:v>2417</c:v>
                </c:pt>
                <c:pt idx="14">
                  <c:v>3701</c:v>
                </c:pt>
                <c:pt idx="15">
                  <c:v>3282</c:v>
                </c:pt>
                <c:pt idx="16">
                  <c:v>2536</c:v>
                </c:pt>
                <c:pt idx="17">
                  <c:v>2630</c:v>
                </c:pt>
                <c:pt idx="18">
                  <c:v>3079</c:v>
                </c:pt>
                <c:pt idx="19">
                  <c:v>2485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9-4927-8E98-4D9AD00C8C9E}"/>
            </c:ext>
          </c:extLst>
        </c:ser>
        <c:ser>
          <c:idx val="1"/>
          <c:order val="1"/>
          <c:tx>
            <c:strRef>
              <c:f>Merania!$C$1</c:f>
              <c:strCache>
                <c:ptCount val="1"/>
                <c:pt idx="0">
                  <c:v>Intent 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Merania!$A$2:$A$21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Merania!$C$2:$C$21</c:f>
              <c:numCache>
                <c:formatCode>General</c:formatCode>
                <c:ptCount val="20"/>
                <c:pt idx="0">
                  <c:v>3680</c:v>
                </c:pt>
                <c:pt idx="1">
                  <c:v>4871</c:v>
                </c:pt>
                <c:pt idx="2">
                  <c:v>6146</c:v>
                </c:pt>
                <c:pt idx="3">
                  <c:v>2098</c:v>
                </c:pt>
                <c:pt idx="4">
                  <c:v>4861</c:v>
                </c:pt>
                <c:pt idx="5">
                  <c:v>4096</c:v>
                </c:pt>
                <c:pt idx="6">
                  <c:v>3826</c:v>
                </c:pt>
                <c:pt idx="7">
                  <c:v>4518</c:v>
                </c:pt>
                <c:pt idx="8">
                  <c:v>2911</c:v>
                </c:pt>
                <c:pt idx="9">
                  <c:v>2598</c:v>
                </c:pt>
                <c:pt idx="10">
                  <c:v>4531</c:v>
                </c:pt>
                <c:pt idx="11">
                  <c:v>12451</c:v>
                </c:pt>
                <c:pt idx="12">
                  <c:v>3010</c:v>
                </c:pt>
                <c:pt idx="13">
                  <c:v>4956</c:v>
                </c:pt>
                <c:pt idx="14">
                  <c:v>1970</c:v>
                </c:pt>
                <c:pt idx="15">
                  <c:v>3195</c:v>
                </c:pt>
                <c:pt idx="16">
                  <c:v>4156</c:v>
                </c:pt>
                <c:pt idx="17">
                  <c:v>1883</c:v>
                </c:pt>
                <c:pt idx="18">
                  <c:v>2855</c:v>
                </c:pt>
                <c:pt idx="19">
                  <c:v>2872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9-4927-8E98-4D9AD00C8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8482560"/>
        <c:axId val="678492640"/>
      </c:barChart>
      <c:catAx>
        <c:axId val="67848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Číslo merania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92640"/>
        <c:crosses val="autoZero"/>
        <c:auto val="1"/>
        <c:lblAlgn val="ctr"/>
        <c:lblOffset val="100"/>
        <c:noMultiLvlLbl val="0"/>
      </c:catAx>
      <c:valAx>
        <c:axId val="67849264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/>
                  <a:t>Odozva </a:t>
                </a:r>
                <a:r>
                  <a:rPr lang="en-GB"/>
                  <a:t>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93174902033599"/>
          <c:y val="0.10143270291317225"/>
          <c:w val="8.366005203114521E-2"/>
          <c:h val="0.11280453062458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plotArea>
      <cx:plotAreaRegion>
        <cx:series layoutId="boxWhisker" uniqueId="{3026FCD8-FBE1-4007-A502-B9BDCD63B578}" formatIdx="1">
          <cx:tx>
            <cx:txData>
              <cx:f>_xlchart.v1.0</cx:f>
              <cx:v>STT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6E55301-7C9F-4F20-B4A1-F243F6CDAA7B}" formatIdx="2">
          <cx:tx>
            <cx:txData>
              <cx:f>_xlchart.v1.2</cx:f>
              <cx:v>Intent 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9019DC2-9690-4288-BAAA-8C734FA01A1E}" formatIdx="3">
          <cx:tx>
            <cx:txData>
              <cx:f>_xlchart.v1.4</cx:f>
              <cx:v>Celková 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Calibri"/>
              </a:endParaRPr>
            </a:p>
          </cx:txPr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sk-SK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libri"/>
                  </a:rPr>
                  <a:t>Latencia</a:t>
                </a:r>
                <a:r>
                  <a:rPr lang="en-GB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libri"/>
                  </a:rPr>
                  <a:t> </a:t>
                </a:r>
                <a:r>
                  <a:rPr lang="en-US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libri"/>
                  </a:rPr>
                  <a:t>[ms]</a:t>
                </a:r>
              </a:p>
            </cx:rich>
          </cx:tx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rgbClr val="000000">
                <a:lumMod val="65000"/>
                <a:lumOff val="35000"/>
              </a:srgbClr>
            </a:solidFill>
            <a:latin typeface="Calibri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24308</xdr:colOff>
      <xdr:row>1</xdr:row>
      <xdr:rowOff>14568</xdr:rowOff>
    </xdr:from>
    <xdr:to>
      <xdr:col>17</xdr:col>
      <xdr:colOff>312472</xdr:colOff>
      <xdr:row>21</xdr:row>
      <xdr:rowOff>4309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F7031-1FB2-E8EE-B236-2004684AF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21549</xdr:colOff>
      <xdr:row>21</xdr:row>
      <xdr:rowOff>183432</xdr:rowOff>
    </xdr:from>
    <xdr:to>
      <xdr:col>17</xdr:col>
      <xdr:colOff>153434</xdr:colOff>
      <xdr:row>41</xdr:row>
      <xdr:rowOff>155589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E8F9914-3B6F-E715-0773-A15120D99B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0020" y="4183932"/>
              <a:ext cx="5958943" cy="3782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13" zoomScale="85" zoomScaleNormal="85" workbookViewId="0">
      <selection activeCell="D25" sqref="D25"/>
    </sheetView>
  </sheetViews>
  <sheetFormatPr defaultColWidth="8.7109375" defaultRowHeight="15" x14ac:dyDescent="0.25"/>
  <cols>
    <col min="1" max="1" width="12" customWidth="1"/>
    <col min="2" max="3" width="14" customWidth="1"/>
    <col min="4" max="4" width="16" customWidth="1"/>
  </cols>
  <sheetData>
    <row r="1" spans="1:4" x14ac:dyDescent="0.25">
      <c r="A1" s="1" t="s">
        <v>0</v>
      </c>
      <c r="B1" s="1" t="s">
        <v>11</v>
      </c>
      <c r="C1" s="1" t="s">
        <v>12</v>
      </c>
      <c r="D1" s="1" t="s">
        <v>13</v>
      </c>
    </row>
    <row r="2" spans="1:4" x14ac:dyDescent="0.25">
      <c r="A2" s="2">
        <v>1</v>
      </c>
      <c r="B2">
        <v>3394</v>
      </c>
      <c r="C2">
        <v>3680</v>
      </c>
      <c r="D2" s="3">
        <f>SUM(B2:C2)</f>
        <v>7074</v>
      </c>
    </row>
    <row r="3" spans="1:4" x14ac:dyDescent="0.25">
      <c r="A3" s="2">
        <v>2</v>
      </c>
      <c r="B3">
        <v>3176</v>
      </c>
      <c r="C3">
        <v>4871</v>
      </c>
      <c r="D3" s="3">
        <f t="shared" ref="D3:D21" si="0">SUM(B3:C3)</f>
        <v>8047</v>
      </c>
    </row>
    <row r="4" spans="1:4" x14ac:dyDescent="0.25">
      <c r="A4" s="2">
        <v>3</v>
      </c>
      <c r="B4">
        <v>2854</v>
      </c>
      <c r="C4">
        <v>6146</v>
      </c>
      <c r="D4" s="3">
        <f t="shared" si="0"/>
        <v>9000</v>
      </c>
    </row>
    <row r="5" spans="1:4" x14ac:dyDescent="0.25">
      <c r="A5" s="2">
        <v>4</v>
      </c>
      <c r="B5">
        <v>3913</v>
      </c>
      <c r="C5">
        <v>2098</v>
      </c>
      <c r="D5" s="3">
        <f t="shared" si="0"/>
        <v>6011</v>
      </c>
    </row>
    <row r="6" spans="1:4" x14ac:dyDescent="0.25">
      <c r="A6" s="2">
        <v>5</v>
      </c>
      <c r="B6">
        <v>3141</v>
      </c>
      <c r="C6">
        <v>4861</v>
      </c>
      <c r="D6" s="3">
        <f t="shared" si="0"/>
        <v>8002</v>
      </c>
    </row>
    <row r="7" spans="1:4" x14ac:dyDescent="0.25">
      <c r="A7" s="2">
        <v>6</v>
      </c>
      <c r="B7">
        <v>3325</v>
      </c>
      <c r="C7">
        <v>4096</v>
      </c>
      <c r="D7" s="3">
        <f t="shared" si="0"/>
        <v>7421</v>
      </c>
    </row>
    <row r="8" spans="1:4" x14ac:dyDescent="0.25">
      <c r="A8" s="2">
        <v>7</v>
      </c>
      <c r="B8">
        <v>3647</v>
      </c>
      <c r="C8">
        <v>3826</v>
      </c>
      <c r="D8" s="3">
        <f t="shared" si="0"/>
        <v>7473</v>
      </c>
    </row>
    <row r="9" spans="1:4" x14ac:dyDescent="0.25">
      <c r="A9" s="2">
        <v>8</v>
      </c>
      <c r="B9">
        <v>3877</v>
      </c>
      <c r="C9">
        <v>4518</v>
      </c>
      <c r="D9" s="3">
        <f t="shared" si="0"/>
        <v>8395</v>
      </c>
    </row>
    <row r="10" spans="1:4" x14ac:dyDescent="0.25">
      <c r="A10" s="2">
        <v>9</v>
      </c>
      <c r="B10">
        <v>3074</v>
      </c>
      <c r="C10">
        <v>2911</v>
      </c>
      <c r="D10" s="3">
        <f t="shared" si="0"/>
        <v>5985</v>
      </c>
    </row>
    <row r="11" spans="1:4" x14ac:dyDescent="0.25">
      <c r="A11" s="2">
        <v>10</v>
      </c>
      <c r="B11">
        <v>2512</v>
      </c>
      <c r="C11">
        <v>2598</v>
      </c>
      <c r="D11" s="3">
        <f t="shared" si="0"/>
        <v>5110</v>
      </c>
    </row>
    <row r="12" spans="1:4" x14ac:dyDescent="0.25">
      <c r="A12" s="2">
        <v>11</v>
      </c>
      <c r="B12">
        <v>2794</v>
      </c>
      <c r="C12">
        <v>4531</v>
      </c>
      <c r="D12" s="3">
        <f t="shared" si="0"/>
        <v>7325</v>
      </c>
    </row>
    <row r="13" spans="1:4" x14ac:dyDescent="0.25">
      <c r="A13" s="2">
        <v>12</v>
      </c>
      <c r="B13">
        <v>4393</v>
      </c>
      <c r="C13">
        <v>12451</v>
      </c>
      <c r="D13" s="3">
        <f t="shared" si="0"/>
        <v>16844</v>
      </c>
    </row>
    <row r="14" spans="1:4" x14ac:dyDescent="0.25">
      <c r="A14" s="2">
        <v>13</v>
      </c>
      <c r="B14">
        <v>3111</v>
      </c>
      <c r="C14">
        <v>3010</v>
      </c>
      <c r="D14" s="3">
        <f t="shared" si="0"/>
        <v>6121</v>
      </c>
    </row>
    <row r="15" spans="1:4" x14ac:dyDescent="0.25">
      <c r="A15" s="2">
        <v>14</v>
      </c>
      <c r="B15">
        <v>2417</v>
      </c>
      <c r="C15">
        <v>4956</v>
      </c>
      <c r="D15" s="3">
        <f t="shared" si="0"/>
        <v>7373</v>
      </c>
    </row>
    <row r="16" spans="1:4" x14ac:dyDescent="0.25">
      <c r="A16" s="2">
        <v>15</v>
      </c>
      <c r="B16">
        <v>3701</v>
      </c>
      <c r="C16">
        <v>1970</v>
      </c>
      <c r="D16" s="3">
        <f t="shared" si="0"/>
        <v>5671</v>
      </c>
    </row>
    <row r="17" spans="1:4" x14ac:dyDescent="0.25">
      <c r="A17" s="2">
        <v>16</v>
      </c>
      <c r="B17">
        <v>3282</v>
      </c>
      <c r="C17">
        <v>3195</v>
      </c>
      <c r="D17" s="3">
        <f t="shared" si="0"/>
        <v>6477</v>
      </c>
    </row>
    <row r="18" spans="1:4" x14ac:dyDescent="0.25">
      <c r="A18" s="2">
        <v>17</v>
      </c>
      <c r="B18">
        <v>2536</v>
      </c>
      <c r="C18">
        <v>4156</v>
      </c>
      <c r="D18" s="3">
        <f t="shared" si="0"/>
        <v>6692</v>
      </c>
    </row>
    <row r="19" spans="1:4" x14ac:dyDescent="0.25">
      <c r="A19" s="2">
        <v>18</v>
      </c>
      <c r="B19">
        <v>2630</v>
      </c>
      <c r="C19">
        <v>1883</v>
      </c>
      <c r="D19" s="3">
        <f t="shared" si="0"/>
        <v>4513</v>
      </c>
    </row>
    <row r="20" spans="1:4" x14ac:dyDescent="0.25">
      <c r="A20" s="2">
        <v>19</v>
      </c>
      <c r="B20">
        <v>3079</v>
      </c>
      <c r="C20">
        <v>2855</v>
      </c>
      <c r="D20" s="3">
        <f t="shared" si="0"/>
        <v>5934</v>
      </c>
    </row>
    <row r="21" spans="1:4" x14ac:dyDescent="0.25">
      <c r="A21" s="2">
        <v>20</v>
      </c>
      <c r="B21">
        <v>2485</v>
      </c>
      <c r="C21">
        <v>2872</v>
      </c>
      <c r="D21" s="3">
        <f t="shared" si="0"/>
        <v>5357</v>
      </c>
    </row>
    <row r="22" spans="1:4" x14ac:dyDescent="0.25">
      <c r="A22" t="s">
        <v>5</v>
      </c>
      <c r="B22">
        <f>AVERAGE(B2:B21)</f>
        <v>3167.05</v>
      </c>
      <c r="C22">
        <f>AVERAGE(C2:C21)</f>
        <v>4074.2</v>
      </c>
      <c r="D22">
        <f>AVERAGE(D2:D21)</f>
        <v>7241.25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defaultColWidth="8.7109375" defaultRowHeight="15" x14ac:dyDescent="0.25"/>
  <cols>
    <col min="1" max="1" width="22" customWidth="1"/>
    <col min="2" max="3" width="14" customWidth="1"/>
    <col min="4" max="4" width="16" customWidth="1"/>
  </cols>
  <sheetData>
    <row r="1" spans="1:4" x14ac:dyDescent="0.25">
      <c r="A1" s="1" t="s">
        <v>4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5</v>
      </c>
      <c r="B2" s="3">
        <f>AVERAGE(Merania!B2:B21)</f>
        <v>3167.05</v>
      </c>
      <c r="C2" s="3">
        <f>AVERAGE(Merania!C2:C21)</f>
        <v>4074.2</v>
      </c>
      <c r="D2" s="3">
        <f>AVERAGE(Merania!D2:D21)</f>
        <v>7241.25</v>
      </c>
    </row>
    <row r="3" spans="1:4" x14ac:dyDescent="0.25">
      <c r="A3" s="4" t="s">
        <v>6</v>
      </c>
      <c r="B3" s="3">
        <f>MEDIAN(Merania!B2:B21)</f>
        <v>3126</v>
      </c>
      <c r="C3" s="3">
        <f>MEDIAN(Merania!C2:C21)</f>
        <v>3753</v>
      </c>
      <c r="D3" s="3">
        <f>MEDIAN(Merania!D2:D21)</f>
        <v>6883</v>
      </c>
    </row>
    <row r="4" spans="1:4" x14ac:dyDescent="0.25">
      <c r="A4" s="4" t="s">
        <v>7</v>
      </c>
      <c r="B4" s="3">
        <f>STDEV(Merania!B2:B21)</f>
        <v>541.41767853624651</v>
      </c>
      <c r="C4" s="3">
        <f>STDEV(Merania!C2:C21)</f>
        <v>2278.3681510192655</v>
      </c>
      <c r="D4" s="3">
        <f>STDEV(Merania!D2:D21)</f>
        <v>2543.7895244569354</v>
      </c>
    </row>
    <row r="5" spans="1:4" x14ac:dyDescent="0.25">
      <c r="A5" s="4" t="s">
        <v>8</v>
      </c>
      <c r="B5" s="3">
        <f>MIN(Merania!B2:B21)</f>
        <v>2417</v>
      </c>
      <c r="C5" s="3">
        <f>MIN(Merania!C2:C21)</f>
        <v>1883</v>
      </c>
      <c r="D5" s="3">
        <f>MIN(Merania!D2:D21)</f>
        <v>4513</v>
      </c>
    </row>
    <row r="6" spans="1:4" x14ac:dyDescent="0.25">
      <c r="A6" s="4" t="s">
        <v>9</v>
      </c>
      <c r="B6" s="3">
        <f>MAX(Merania!B2:B21)</f>
        <v>4393</v>
      </c>
      <c r="C6" s="3">
        <f>MAX(Merania!C2:C21)</f>
        <v>12451</v>
      </c>
      <c r="D6" s="3">
        <f>MAX(Merania!D2:D21)</f>
        <v>16844</v>
      </c>
    </row>
    <row r="7" spans="1:4" x14ac:dyDescent="0.25">
      <c r="A7" s="4" t="s">
        <v>10</v>
      </c>
      <c r="B7" s="3">
        <f>COUNT(Merania!B2:B21)</f>
        <v>20</v>
      </c>
      <c r="C7" s="3">
        <f>COUNT(Merania!C2:C21)</f>
        <v>20</v>
      </c>
      <c r="D7" s="3">
        <f>COUNT(Merania!D2:D21)</f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Merania</vt:lpstr>
      <vt:lpstr>Štatistiky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 Lettrich</cp:lastModifiedBy>
  <cp:revision>0</cp:revision>
  <dcterms:created xsi:type="dcterms:W3CDTF">2026-05-21T12:41:49Z</dcterms:created>
  <dcterms:modified xsi:type="dcterms:W3CDTF">2026-05-29T08:11:15Z</dcterms:modified>
  <dc:language>en-US</dc:language>
</cp:coreProperties>
</file>